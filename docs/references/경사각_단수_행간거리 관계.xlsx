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AD942F90-2C03-4246-B28B-170A94707335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경사각구하기" sheetId="1" r:id="rId1"/>
    <sheet name="모듈,토지경사에따른 이격거리" sheetId="2" r:id="rId2"/>
    <sheet name="밑변과 양각을 알때 수직거리계산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73" i="2" l="1"/>
  <c r="O74" i="2"/>
  <c r="F21" i="2" l="1"/>
  <c r="H21" i="2" s="1"/>
  <c r="L76" i="2"/>
  <c r="I76" i="2"/>
  <c r="H76" i="2"/>
  <c r="L74" i="2"/>
  <c r="L75" i="2"/>
  <c r="L73" i="2"/>
  <c r="H75" i="2"/>
  <c r="I75" i="2" s="1"/>
  <c r="D75" i="2"/>
  <c r="I74" i="2"/>
  <c r="H74" i="2"/>
  <c r="H73" i="2"/>
  <c r="I73" i="2" s="1"/>
  <c r="L64" i="2"/>
  <c r="N64" i="2"/>
  <c r="L65" i="2"/>
  <c r="N65" i="2"/>
  <c r="H65" i="2" s="1"/>
  <c r="O65" i="2" s="1"/>
  <c r="L66" i="2"/>
  <c r="N66" i="2"/>
  <c r="H66" i="2" s="1"/>
  <c r="O66" i="2" s="1"/>
  <c r="L67" i="2"/>
  <c r="N67" i="2"/>
  <c r="H67" i="2" s="1"/>
  <c r="O67" i="2" s="1"/>
  <c r="L63" i="2"/>
  <c r="N63" i="2"/>
  <c r="K66" i="2" l="1"/>
  <c r="K65" i="2"/>
  <c r="H64" i="2"/>
  <c r="O64" i="2" s="1"/>
  <c r="H63" i="2"/>
  <c r="O63" i="2" s="1"/>
  <c r="K67" i="2"/>
  <c r="K18" i="1"/>
  <c r="I15" i="1"/>
  <c r="H18" i="1"/>
  <c r="K64" i="2" l="1"/>
  <c r="K63" i="2"/>
  <c r="M4" i="1"/>
  <c r="N4" i="1" s="1"/>
  <c r="K4" i="1" s="1"/>
  <c r="H25" i="3" l="1"/>
  <c r="G24" i="3"/>
  <c r="G21" i="3"/>
  <c r="J24" i="3"/>
  <c r="H24" i="3"/>
  <c r="N21" i="3"/>
  <c r="M21" i="3"/>
  <c r="J21" i="3"/>
  <c r="H21" i="3"/>
  <c r="D20" i="1" l="1"/>
  <c r="D21" i="1"/>
  <c r="D18" i="1"/>
  <c r="G18" i="1" s="1"/>
  <c r="B15" i="1"/>
  <c r="B19" i="1" l="1"/>
  <c r="I19" i="1"/>
  <c r="I12" i="2"/>
  <c r="F11" i="2"/>
  <c r="P8" i="2"/>
  <c r="F8" i="3"/>
  <c r="E8" i="3"/>
  <c r="L10" i="3"/>
  <c r="J10" i="3" s="1"/>
  <c r="K5" i="2"/>
  <c r="G15" i="2"/>
  <c r="D15" i="2"/>
  <c r="C15" i="2"/>
  <c r="C18" i="2" s="1"/>
  <c r="E4" i="1"/>
  <c r="C5" i="1" s="1"/>
  <c r="D19" i="1" l="1"/>
  <c r="D23" i="1" s="1"/>
  <c r="G23" i="1" s="1"/>
  <c r="B22" i="1"/>
  <c r="I11" i="2"/>
  <c r="J11" i="2" s="1"/>
  <c r="F12" i="2"/>
  <c r="F10" i="3"/>
  <c r="F11" i="3" s="1"/>
  <c r="L13" i="3" s="1"/>
  <c r="G18" i="2"/>
  <c r="H3" i="2" s="1"/>
  <c r="H6" i="2" l="1"/>
  <c r="K3" i="2"/>
  <c r="K6" i="2" s="1"/>
</calcChain>
</file>

<file path=xl/sharedStrings.xml><?xml version="1.0" encoding="utf-8"?>
<sst xmlns="http://schemas.openxmlformats.org/spreadsheetml/2006/main" count="118" uniqueCount="106">
  <si>
    <t>atan값</t>
    <phoneticPr fontId="2" type="noConversion"/>
  </si>
  <si>
    <t>경사각 구하기</t>
    <phoneticPr fontId="1" type="noConversion"/>
  </si>
  <si>
    <t>수직거리</t>
    <phoneticPr fontId="2" type="noConversion"/>
  </si>
  <si>
    <t>수평거리</t>
    <phoneticPr fontId="2" type="noConversion"/>
  </si>
  <si>
    <t>도</t>
    <phoneticPr fontId="1" type="noConversion"/>
  </si>
  <si>
    <t>부분만 채우시길~~</t>
    <phoneticPr fontId="1" type="noConversion"/>
  </si>
  <si>
    <t>태양각</t>
    <phoneticPr fontId="2" type="noConversion"/>
  </si>
  <si>
    <t>모듈길이</t>
    <phoneticPr fontId="2" type="noConversion"/>
  </si>
  <si>
    <t>토지경사각</t>
    <phoneticPr fontId="2" type="noConversion"/>
  </si>
  <si>
    <t>현장적용</t>
    <phoneticPr fontId="2" type="noConversion"/>
  </si>
  <si>
    <t>m</t>
    <phoneticPr fontId="2" type="noConversion"/>
  </si>
  <si>
    <t>적정거리</t>
    <phoneticPr fontId="2" type="noConversion"/>
  </si>
  <si>
    <t>수직길이</t>
    <phoneticPr fontId="2" type="noConversion"/>
  </si>
  <si>
    <t>수평거리</t>
    <phoneticPr fontId="2" type="noConversion"/>
  </si>
  <si>
    <t>태양각수평거리</t>
    <phoneticPr fontId="2" type="noConversion"/>
  </si>
  <si>
    <t>보정수직길이</t>
    <phoneticPr fontId="2" type="noConversion"/>
  </si>
  <si>
    <t>보정태양각거리</t>
    <phoneticPr fontId="2" type="noConversion"/>
  </si>
  <si>
    <t>모듈과모듈사이</t>
    <phoneticPr fontId="1" type="noConversion"/>
  </si>
  <si>
    <t>m</t>
    <phoneticPr fontId="2" type="noConversion"/>
  </si>
  <si>
    <t>각도1</t>
    <phoneticPr fontId="1" type="noConversion"/>
  </si>
  <si>
    <t>각도2</t>
    <phoneticPr fontId="1" type="noConversion"/>
  </si>
  <si>
    <t xml:space="preserve">총거리 </t>
    <phoneticPr fontId="1" type="noConversion"/>
  </si>
  <si>
    <t>수직거리</t>
    <phoneticPr fontId="1" type="noConversion"/>
  </si>
  <si>
    <t>수평거리변환</t>
    <phoneticPr fontId="1" type="noConversion"/>
  </si>
  <si>
    <t>토지경사</t>
    <phoneticPr fontId="1" type="noConversion"/>
  </si>
  <si>
    <t>태양각</t>
    <phoneticPr fontId="1" type="noConversion"/>
  </si>
  <si>
    <t>모듈경사각에 따른 수평투영면적 구하기</t>
    <phoneticPr fontId="1" type="noConversion"/>
  </si>
  <si>
    <t xml:space="preserve">모듈각 </t>
    <phoneticPr fontId="1" type="noConversion"/>
  </si>
  <si>
    <t>경사길이</t>
    <phoneticPr fontId="1" type="noConversion"/>
  </si>
  <si>
    <t>모듈갯수</t>
    <phoneticPr fontId="1" type="noConversion"/>
  </si>
  <si>
    <t>면적(m2)</t>
    <phoneticPr fontId="1" type="noConversion"/>
  </si>
  <si>
    <t>축소율</t>
    <phoneticPr fontId="1" type="noConversion"/>
  </si>
  <si>
    <t>%</t>
    <phoneticPr fontId="1" type="noConversion"/>
  </si>
  <si>
    <t>모듈 수량에 따른 직,병렬 산출</t>
    <phoneticPr fontId="1" type="noConversion"/>
  </si>
  <si>
    <t>적용모듈(W)</t>
    <phoneticPr fontId="1" type="noConversion"/>
  </si>
  <si>
    <t>설치량(kw)</t>
    <phoneticPr fontId="1" type="noConversion"/>
  </si>
  <si>
    <t>수량</t>
    <phoneticPr fontId="1" type="noConversion"/>
  </si>
  <si>
    <t>개방전압</t>
    <phoneticPr fontId="1" type="noConversion"/>
  </si>
  <si>
    <t>소요수량</t>
    <phoneticPr fontId="1" type="noConversion"/>
  </si>
  <si>
    <t>잔여수량</t>
    <phoneticPr fontId="1" type="noConversion"/>
  </si>
  <si>
    <t>모듈 가로 세로 배열시 길이 폭 조정</t>
    <phoneticPr fontId="1" type="noConversion"/>
  </si>
  <si>
    <t>한화 580</t>
    <phoneticPr fontId="1" type="noConversion"/>
  </si>
  <si>
    <t xml:space="preserve">길이 </t>
    <phoneticPr fontId="1" type="noConversion"/>
  </si>
  <si>
    <t>폭</t>
    <phoneticPr fontId="1" type="noConversion"/>
  </si>
  <si>
    <t xml:space="preserve">길이 배열시 </t>
    <phoneticPr fontId="1" type="noConversion"/>
  </si>
  <si>
    <t>가로배열시</t>
    <phoneticPr fontId="1" type="noConversion"/>
  </si>
  <si>
    <t>단</t>
    <phoneticPr fontId="1" type="noConversion"/>
  </si>
  <si>
    <t>단</t>
    <phoneticPr fontId="1" type="noConversion"/>
  </si>
  <si>
    <t>열</t>
    <phoneticPr fontId="1" type="noConversion"/>
  </si>
  <si>
    <t>m</t>
    <phoneticPr fontId="1" type="noConversion"/>
  </si>
  <si>
    <t>열</t>
    <phoneticPr fontId="1" type="noConversion"/>
  </si>
  <si>
    <t>JA535</t>
    <phoneticPr fontId="1" type="noConversion"/>
  </si>
  <si>
    <t>경사각 환산표</t>
    <phoneticPr fontId="1" type="noConversion"/>
  </si>
  <si>
    <t>경사각</t>
    <phoneticPr fontId="1" type="noConversion"/>
  </si>
  <si>
    <t>%값 환산</t>
    <phoneticPr fontId="2" type="noConversion"/>
  </si>
  <si>
    <t>도</t>
    <phoneticPr fontId="1" type="noConversion"/>
  </si>
  <si>
    <t>기울기(%)</t>
    <phoneticPr fontId="1" type="noConversion"/>
  </si>
  <si>
    <t>적용산식(병렬)</t>
    <phoneticPr fontId="1" type="noConversion"/>
  </si>
  <si>
    <t>수정(병렬)</t>
    <phoneticPr fontId="1" type="noConversion"/>
  </si>
  <si>
    <t>소요소량</t>
    <phoneticPr fontId="1" type="noConversion"/>
  </si>
  <si>
    <t>저압시</t>
    <phoneticPr fontId="1" type="noConversion"/>
  </si>
  <si>
    <t>최대직렬</t>
    <phoneticPr fontId="1" type="noConversion"/>
  </si>
  <si>
    <t>고압시</t>
    <phoneticPr fontId="1" type="noConversion"/>
  </si>
  <si>
    <t>최소직렬</t>
    <phoneticPr fontId="1" type="noConversion"/>
  </si>
  <si>
    <t>적용수량(직렬)</t>
    <phoneticPr fontId="1" type="noConversion"/>
  </si>
  <si>
    <t>인버터 적용</t>
    <phoneticPr fontId="1" type="noConversion"/>
  </si>
  <si>
    <t>100kw</t>
    <phoneticPr fontId="1" type="noConversion"/>
  </si>
  <si>
    <t>50kw</t>
    <phoneticPr fontId="1" type="noConversion"/>
  </si>
  <si>
    <t>모듈 사이즈에 대한 면적대비 효율</t>
    <phoneticPr fontId="1" type="noConversion"/>
  </si>
  <si>
    <t>모듈명</t>
    <phoneticPr fontId="1" type="noConversion"/>
  </si>
  <si>
    <t>출력(w)</t>
    <phoneticPr fontId="1" type="noConversion"/>
  </si>
  <si>
    <t>길이</t>
    <phoneticPr fontId="1" type="noConversion"/>
  </si>
  <si>
    <t>폭</t>
    <phoneticPr fontId="1" type="noConversion"/>
  </si>
  <si>
    <t>면적</t>
    <phoneticPr fontId="1" type="noConversion"/>
  </si>
  <si>
    <t>경사각</t>
    <phoneticPr fontId="1" type="noConversion"/>
  </si>
  <si>
    <t>방정식</t>
    <phoneticPr fontId="1" type="noConversion"/>
  </si>
  <si>
    <t>모듈수량</t>
    <phoneticPr fontId="1" type="noConversion"/>
  </si>
  <si>
    <t>면적계</t>
    <phoneticPr fontId="1" type="noConversion"/>
  </si>
  <si>
    <t>설치량</t>
    <phoneticPr fontId="1" type="noConversion"/>
  </si>
  <si>
    <t xml:space="preserve">모듈에 따른 면적대비 효용 </t>
    <phoneticPr fontId="1" type="noConversion"/>
  </si>
  <si>
    <t>출력/면적</t>
    <phoneticPr fontId="1" type="noConversion"/>
  </si>
  <si>
    <t>진코</t>
    <phoneticPr fontId="1" type="noConversion"/>
  </si>
  <si>
    <t>개방전압</t>
    <phoneticPr fontId="1" type="noConversion"/>
  </si>
  <si>
    <t>진코</t>
    <phoneticPr fontId="1" type="noConversion"/>
  </si>
  <si>
    <t>트리나</t>
    <phoneticPr fontId="1" type="noConversion"/>
  </si>
  <si>
    <t>트리나</t>
    <phoneticPr fontId="1" type="noConversion"/>
  </si>
  <si>
    <t>직렬</t>
    <phoneticPr fontId="1" type="noConversion"/>
  </si>
  <si>
    <t>볼트</t>
    <phoneticPr fontId="1" type="noConversion"/>
  </si>
  <si>
    <t>150이하설치시 최대수량</t>
    <phoneticPr fontId="1" type="noConversion"/>
  </si>
  <si>
    <t>모듈각</t>
    <phoneticPr fontId="1" type="noConversion"/>
  </si>
  <si>
    <t>경사길이</t>
    <phoneticPr fontId="1" type="noConversion"/>
  </si>
  <si>
    <t>경사고</t>
    <phoneticPr fontId="1" type="noConversion"/>
  </si>
  <si>
    <t>높이(중심)</t>
    <phoneticPr fontId="1" type="noConversion"/>
  </si>
  <si>
    <t>앞면고(남측)</t>
    <phoneticPr fontId="1" type="noConversion"/>
  </si>
  <si>
    <t>한화</t>
    <phoneticPr fontId="1" type="noConversion"/>
  </si>
  <si>
    <t>한화</t>
    <phoneticPr fontId="1" type="noConversion"/>
  </si>
  <si>
    <t>모듈경사각에 따른 남측부분 지면고(외기둥의 경우)</t>
    <phoneticPr fontId="1" type="noConversion"/>
  </si>
  <si>
    <t>jingsun징선</t>
    <phoneticPr fontId="1" type="noConversion"/>
  </si>
  <si>
    <t>수평거리</t>
    <phoneticPr fontId="1" type="noConversion"/>
  </si>
  <si>
    <t>모듈폭</t>
    <phoneticPr fontId="1" type="noConversion"/>
  </si>
  <si>
    <t>Vmpp</t>
    <phoneticPr fontId="1" type="noConversion"/>
  </si>
  <si>
    <t>사용인버터</t>
    <phoneticPr fontId="1" type="noConversion"/>
  </si>
  <si>
    <t xml:space="preserve"> </t>
    <phoneticPr fontId="1" type="noConversion"/>
  </si>
  <si>
    <t>모듈경사각</t>
    <phoneticPr fontId="2" type="noConversion"/>
  </si>
  <si>
    <t>행간 거리</t>
    <phoneticPr fontId="2" type="noConversion"/>
  </si>
  <si>
    <t>행간 거리 구하기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</si>
</sst>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_ "/>
    <numFmt numFmtId="178" formatCode="0.00_ "/>
    <numFmt numFmtId="179" formatCode="0.000_ "/>
    <numFmt numFmtId="180" formatCode="0.0000"/>
    <numFmt numFmtId="181" formatCode="0.000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4" fillId="0" borderId="0" xfId="0" applyFont="1" applyAlignment="1"/>
    <xf numFmtId="0" fontId="0" fillId="2" borderId="0" xfId="0" applyFill="1" applyAlignment="1"/>
    <xf numFmtId="0" fontId="8" fillId="0" borderId="4" xfId="0" applyFont="1" applyBorder="1" applyAlignment="1"/>
    <xf numFmtId="0" fontId="8" fillId="0" borderId="7" xfId="0" applyFont="1" applyBorder="1" applyAlignment="1"/>
    <xf numFmtId="178" fontId="7" fillId="0" borderId="9" xfId="0" applyNumberFormat="1" applyFont="1" applyBorder="1" applyAlignment="1"/>
    <xf numFmtId="178" fontId="0" fillId="0" borderId="0" xfId="0" applyNumberFormat="1" applyAlignment="1"/>
    <xf numFmtId="0" fontId="8" fillId="0" borderId="0" xfId="0" applyFont="1" applyAlignment="1"/>
    <xf numFmtId="178" fontId="7" fillId="0" borderId="0" xfId="0" applyNumberFormat="1" applyFont="1" applyAlignment="1"/>
    <xf numFmtId="0" fontId="7" fillId="2" borderId="6" xfId="0" applyFont="1" applyFill="1" applyBorder="1" applyAlignme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3" xfId="0" applyBorder="1">
      <alignment vertical="center"/>
    </xf>
    <xf numFmtId="0" fontId="3" fillId="0" borderId="2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9" fillId="0" borderId="3" xfId="0" applyFont="1" applyBorder="1" applyAlignment="1"/>
    <xf numFmtId="178" fontId="9" fillId="0" borderId="2" xfId="0" applyNumberFormat="1" applyFont="1" applyBorder="1" applyAlignment="1"/>
    <xf numFmtId="0" fontId="9" fillId="0" borderId="0" xfId="0" applyFont="1" applyAlignment="1"/>
    <xf numFmtId="0" fontId="9" fillId="0" borderId="2" xfId="0" applyFont="1" applyBorder="1" applyAlignment="1"/>
    <xf numFmtId="0" fontId="0" fillId="3" borderId="0" xfId="0" applyFill="1" applyAlignment="1"/>
    <xf numFmtId="0" fontId="11" fillId="0" borderId="0" xfId="0" applyFont="1" applyAlignment="1">
      <alignment vertical="top"/>
    </xf>
    <xf numFmtId="0" fontId="11" fillId="0" borderId="13" xfId="0" applyFont="1" applyBorder="1" applyAlignment="1"/>
    <xf numFmtId="0" fontId="11" fillId="0" borderId="14" xfId="0" applyFont="1" applyBorder="1" applyAlignment="1"/>
    <xf numFmtId="0" fontId="11" fillId="3" borderId="14" xfId="0" applyFont="1" applyFill="1" applyBorder="1" applyAlignment="1"/>
    <xf numFmtId="0" fontId="11" fillId="0" borderId="15" xfId="0" applyFont="1" applyBorder="1" applyAlignment="1"/>
    <xf numFmtId="179" fontId="0" fillId="0" borderId="12" xfId="0" applyNumberFormat="1" applyBorder="1" applyAlignment="1"/>
    <xf numFmtId="0" fontId="0" fillId="2" borderId="10" xfId="0" applyFill="1" applyBorder="1" applyAlignment="1"/>
    <xf numFmtId="0" fontId="0" fillId="2" borderId="11" xfId="0" applyFill="1" applyBorder="1" applyAlignment="1"/>
    <xf numFmtId="179" fontId="0" fillId="0" borderId="0" xfId="0" applyNumberFormat="1" applyAlignment="1"/>
    <xf numFmtId="0" fontId="11" fillId="0" borderId="16" xfId="0" applyFont="1" applyBorder="1" applyAlignment="1"/>
    <xf numFmtId="2" fontId="0" fillId="0" borderId="0" xfId="0" applyNumberFormat="1" applyAlignment="1"/>
    <xf numFmtId="0" fontId="13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2" borderId="17" xfId="0" applyFill="1" applyBorder="1" applyAlignment="1"/>
    <xf numFmtId="180" fontId="0" fillId="0" borderId="0" xfId="0" applyNumberFormat="1" applyAlignment="1"/>
    <xf numFmtId="0" fontId="0" fillId="4" borderId="17" xfId="0" applyFill="1" applyBorder="1" applyAlignment="1"/>
    <xf numFmtId="0" fontId="0" fillId="4" borderId="0" xfId="0" applyFill="1" applyAlignment="1"/>
    <xf numFmtId="0" fontId="6" fillId="0" borderId="0" xfId="0" applyFont="1" applyAlignment="1"/>
    <xf numFmtId="0" fontId="0" fillId="0" borderId="17" xfId="0" applyBorder="1" applyAlignment="1"/>
    <xf numFmtId="181" fontId="0" fillId="0" borderId="17" xfId="0" applyNumberFormat="1" applyBorder="1" applyAlignment="1"/>
    <xf numFmtId="2" fontId="0" fillId="0" borderId="17" xfId="0" applyNumberFormat="1" applyBorder="1" applyAlignment="1"/>
    <xf numFmtId="0" fontId="0" fillId="5" borderId="17" xfId="0" applyFill="1" applyBorder="1" applyAlignment="1"/>
    <xf numFmtId="179" fontId="10" fillId="0" borderId="11" xfId="0" applyNumberFormat="1" applyFont="1" applyBorder="1" applyAlignment="1"/>
    <xf numFmtId="0" fontId="0" fillId="4" borderId="16" xfId="0" applyFill="1" applyBorder="1" applyAlignment="1"/>
    <xf numFmtId="0" fontId="0" fillId="0" borderId="0" xfId="0" applyAlignment="1">
      <alignment horizontal="left"/>
    </xf>
    <xf numFmtId="178" fontId="7" fillId="3" borderId="9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412750</xdr:colOff>
      <xdr:row>22</xdr:row>
      <xdr:rowOff>57150</xdr:rowOff>
    </xdr:from>
    <xdr:to>
      <xdr:col>19</xdr:col>
      <xdr:colOff>578409</xdr:colOff>
      <xdr:row>39</xdr:row>
      <xdr:rowOff>47625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86700" y="4546600"/>
          <a:ext cx="6553759" cy="36607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104775</xdr:colOff>
      <xdr:row>39</xdr:row>
      <xdr:rowOff>66675</xdr:rowOff>
    </xdr:from>
    <xdr:to>
      <xdr:col>10</xdr:col>
      <xdr:colOff>228816</xdr:colOff>
      <xdr:row>56</xdr:row>
      <xdr:rowOff>85725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4825" y="7067550"/>
          <a:ext cx="6534366" cy="3581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8"/>
  <sheetViews>
    <sheetView tabSelected="1" workbookViewId="0">
      <selection activeCell="J5" sqref="J5"/>
    </sheetView>
  </sheetViews>
  <sheetFormatPr defaultColWidth="9" defaultRowHeight="17" x14ac:dyDescent="0.45"/>
  <cols>
    <col min="1" max="1" width="6.08203125" style="1" customWidth="1"/>
    <col min="2" max="3" width="13.5" style="1" customWidth="1"/>
    <col min="4" max="4" width="8.25" style="1" customWidth="1"/>
    <col min="5" max="5" width="12.08203125" style="1" hidden="1" customWidth="1"/>
    <col min="6" max="6" width="9" style="1" hidden="1" customWidth="1"/>
    <col min="7" max="8" width="9" style="1"/>
    <col min="9" max="9" width="10.5" style="1" customWidth="1"/>
    <col min="10" max="10" width="14" style="1" customWidth="1"/>
    <col min="11" max="11" width="14.58203125" style="1" customWidth="1"/>
    <col min="12" max="12" width="9" style="1"/>
    <col min="13" max="13" width="11.83203125" style="1" hidden="1" customWidth="1"/>
    <col min="14" max="14" width="0" style="1" hidden="1" customWidth="1"/>
    <col min="15" max="16384" width="9" style="1"/>
  </cols>
  <sheetData>
    <row r="1" spans="2:14" ht="17.5" thickBot="1" x14ac:dyDescent="0.5"/>
    <row r="2" spans="2:14" ht="47.25" customHeight="1" thickBot="1" x14ac:dyDescent="0.5">
      <c r="B2" s="16" t="s">
        <v>1</v>
      </c>
      <c r="C2" s="15"/>
      <c r="J2" s="60" t="s">
        <v>52</v>
      </c>
      <c r="K2" s="61"/>
    </row>
    <row r="3" spans="2:14" ht="36.75" customHeight="1" thickBot="1" x14ac:dyDescent="0.7">
      <c r="B3" s="14" t="s">
        <v>2</v>
      </c>
      <c r="C3" s="14" t="s">
        <v>3</v>
      </c>
      <c r="D3" s="3"/>
      <c r="E3" s="1" t="s">
        <v>0</v>
      </c>
      <c r="J3" s="42" t="s">
        <v>56</v>
      </c>
      <c r="K3" s="44" t="s">
        <v>53</v>
      </c>
      <c r="M3" s="1" t="s">
        <v>54</v>
      </c>
      <c r="N3" s="1" t="s">
        <v>0</v>
      </c>
    </row>
    <row r="4" spans="2:14" ht="36.75" customHeight="1" thickBot="1" x14ac:dyDescent="0.8">
      <c r="B4" s="12">
        <v>30</v>
      </c>
      <c r="C4" s="12">
        <v>73</v>
      </c>
      <c r="D4" s="3"/>
      <c r="E4" s="1">
        <f>ATAN(B4/C4)</f>
        <v>0.38991786393085215</v>
      </c>
      <c r="J4" s="43">
        <v>7</v>
      </c>
      <c r="K4" s="45">
        <f>N4*360/(2*PI())</f>
        <v>4.0041729407093882</v>
      </c>
      <c r="L4" s="41" t="s">
        <v>55</v>
      </c>
      <c r="M4" s="1">
        <f>J4/100</f>
        <v>7.0000000000000007E-2</v>
      </c>
      <c r="N4" s="1">
        <f>ATAN(M4)</f>
        <v>6.9886001634642508E-2</v>
      </c>
    </row>
    <row r="5" spans="2:14" ht="36.75" customHeight="1" thickBot="1" x14ac:dyDescent="0.5">
      <c r="B5" s="23"/>
      <c r="C5" s="22">
        <f>E4*360/(2*PI())</f>
        <v>22.340647959994136</v>
      </c>
      <c r="D5" s="13" t="s">
        <v>4</v>
      </c>
      <c r="E5" s="2"/>
    </row>
    <row r="8" spans="2:14" x14ac:dyDescent="0.45">
      <c r="B8" s="4"/>
      <c r="C8" s="1" t="s">
        <v>5</v>
      </c>
    </row>
    <row r="12" spans="2:14" x14ac:dyDescent="0.45">
      <c r="B12" s="1" t="s">
        <v>33</v>
      </c>
    </row>
    <row r="13" spans="2:14" x14ac:dyDescent="0.45">
      <c r="I13" s="1" t="s">
        <v>60</v>
      </c>
      <c r="J13" s="1" t="s">
        <v>62</v>
      </c>
    </row>
    <row r="14" spans="2:14" x14ac:dyDescent="0.45">
      <c r="B14" s="1" t="s">
        <v>35</v>
      </c>
      <c r="C14" s="1" t="s">
        <v>34</v>
      </c>
      <c r="D14" s="1" t="s">
        <v>36</v>
      </c>
      <c r="G14" s="1" t="s">
        <v>37</v>
      </c>
      <c r="I14" s="1" t="s">
        <v>61</v>
      </c>
      <c r="J14" s="1" t="s">
        <v>63</v>
      </c>
    </row>
    <row r="15" spans="2:14" x14ac:dyDescent="0.45">
      <c r="B15" s="40">
        <f>D15*C15/1000</f>
        <v>999</v>
      </c>
      <c r="C15" s="1">
        <v>500</v>
      </c>
      <c r="D15" s="1">
        <v>1998</v>
      </c>
      <c r="G15" s="1">
        <v>53.9</v>
      </c>
      <c r="I15" s="1">
        <f>750/G15</f>
        <v>13.914656771799629</v>
      </c>
      <c r="J15" s="1">
        <v>16</v>
      </c>
    </row>
    <row r="17" spans="2:11" x14ac:dyDescent="0.45">
      <c r="B17" s="1" t="s">
        <v>57</v>
      </c>
      <c r="C17" s="1" t="s">
        <v>64</v>
      </c>
      <c r="D17" s="1" t="s">
        <v>38</v>
      </c>
      <c r="G17" s="1" t="s">
        <v>39</v>
      </c>
      <c r="H17" s="1" t="s">
        <v>58</v>
      </c>
      <c r="I17" s="1" t="s">
        <v>59</v>
      </c>
    </row>
    <row r="18" spans="2:11" x14ac:dyDescent="0.45">
      <c r="B18" s="47">
        <v>123</v>
      </c>
      <c r="C18" s="47">
        <v>16</v>
      </c>
      <c r="D18" s="1">
        <f>C18*B18</f>
        <v>1968</v>
      </c>
      <c r="G18" s="1">
        <f>D15-D18</f>
        <v>30</v>
      </c>
      <c r="H18" s="1">
        <f>C18</f>
        <v>16</v>
      </c>
      <c r="K18" s="1">
        <f>D15/C18</f>
        <v>124.875</v>
      </c>
    </row>
    <row r="19" spans="2:11" x14ac:dyDescent="0.45">
      <c r="B19" s="47">
        <f>G18/C19</f>
        <v>2</v>
      </c>
      <c r="C19" s="47">
        <v>15</v>
      </c>
      <c r="D19" s="1">
        <f t="shared" ref="D19:D21" si="0">C19*B19</f>
        <v>30</v>
      </c>
      <c r="H19" s="1">
        <v>1</v>
      </c>
      <c r="I19" s="1">
        <f>G18-(H19*C19)</f>
        <v>15</v>
      </c>
    </row>
    <row r="20" spans="2:11" x14ac:dyDescent="0.45">
      <c r="B20" s="1">
        <v>0</v>
      </c>
      <c r="C20" s="1">
        <v>14</v>
      </c>
      <c r="D20" s="1">
        <f t="shared" si="0"/>
        <v>0</v>
      </c>
    </row>
    <row r="21" spans="2:11" x14ac:dyDescent="0.45">
      <c r="B21" s="1">
        <v>0</v>
      </c>
      <c r="C21" s="1">
        <v>13</v>
      </c>
      <c r="D21" s="1">
        <f t="shared" si="0"/>
        <v>0</v>
      </c>
    </row>
    <row r="22" spans="2:11" ht="17.5" thickBot="1" x14ac:dyDescent="0.5">
      <c r="B22" s="1">
        <f>SUM(B18:B21)</f>
        <v>125</v>
      </c>
    </row>
    <row r="23" spans="2:11" ht="17.5" thickBot="1" x14ac:dyDescent="0.5">
      <c r="D23" s="46">
        <f>SUM(D18:D22)</f>
        <v>1998</v>
      </c>
      <c r="G23" s="1">
        <f>D15-D23</f>
        <v>0</v>
      </c>
    </row>
    <row r="26" spans="2:11" x14ac:dyDescent="0.45">
      <c r="B26" s="1" t="s">
        <v>65</v>
      </c>
    </row>
    <row r="27" spans="2:11" x14ac:dyDescent="0.45">
      <c r="B27" s="1" t="s">
        <v>66</v>
      </c>
      <c r="C27" s="1">
        <v>16</v>
      </c>
    </row>
    <row r="28" spans="2:11" x14ac:dyDescent="0.45">
      <c r="B28" s="1" t="s">
        <v>67</v>
      </c>
    </row>
  </sheetData>
  <mergeCells count="1">
    <mergeCell ref="J2:K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topLeftCell="G26" workbookViewId="0">
      <selection activeCell="D1" sqref="D1"/>
    </sheetView>
  </sheetViews>
  <sheetFormatPr defaultColWidth="9" defaultRowHeight="17" x14ac:dyDescent="0.45"/>
  <cols>
    <col min="1" max="1" width="9" style="1" hidden="1" customWidth="1"/>
    <col min="2" max="2" width="5.08203125" style="1" customWidth="1"/>
    <col min="3" max="3" width="9.08203125" style="1" customWidth="1"/>
    <col min="4" max="4" width="9.83203125" style="1" customWidth="1"/>
    <col min="5" max="5" width="10" style="1" customWidth="1"/>
    <col min="6" max="6" width="10.58203125" style="1" customWidth="1"/>
    <col min="7" max="7" width="11.08203125" style="1" customWidth="1"/>
    <col min="8" max="8" width="11.58203125" style="1" customWidth="1"/>
    <col min="9" max="9" width="12" style="1" customWidth="1"/>
    <col min="10" max="10" width="9.5" style="1" bestFit="1" customWidth="1"/>
    <col min="11" max="13" width="9" style="1"/>
    <col min="14" max="14" width="9" style="1" customWidth="1"/>
    <col min="15" max="15" width="20.83203125" style="1" customWidth="1"/>
    <col min="16" max="16384" width="9" style="1"/>
  </cols>
  <sheetData>
    <row r="1" spans="3:16" ht="24.75" customHeight="1" thickBot="1" x14ac:dyDescent="0.5">
      <c r="D1" s="30" t="s">
        <v>105</v>
      </c>
    </row>
    <row r="2" spans="3:16" ht="29.25" customHeight="1" thickBot="1" x14ac:dyDescent="0.5">
      <c r="D2" s="17" t="s">
        <v>6</v>
      </c>
      <c r="E2" s="18" t="s">
        <v>7</v>
      </c>
      <c r="F2" s="18" t="s">
        <v>103</v>
      </c>
      <c r="G2" s="18" t="s">
        <v>8</v>
      </c>
      <c r="H2" s="19" t="s">
        <v>104</v>
      </c>
      <c r="K2" s="24" t="s">
        <v>17</v>
      </c>
      <c r="L2" s="25"/>
    </row>
    <row r="3" spans="3:16" ht="25.5" customHeight="1" thickBot="1" x14ac:dyDescent="0.5">
      <c r="D3" s="20">
        <v>26</v>
      </c>
      <c r="E3" s="21">
        <v>2.3839999999999999</v>
      </c>
      <c r="F3" s="21">
        <v>15</v>
      </c>
      <c r="G3" s="21">
        <v>3</v>
      </c>
      <c r="H3" s="59">
        <f>D15+G18</f>
        <v>3.3120401238401858</v>
      </c>
      <c r="I3" s="1" t="s">
        <v>10</v>
      </c>
      <c r="K3" s="26">
        <f>H3-D15</f>
        <v>1.0092729203603019</v>
      </c>
      <c r="L3" s="25" t="s">
        <v>18</v>
      </c>
    </row>
    <row r="4" spans="3:16" ht="17.5" thickBot="1" x14ac:dyDescent="0.5">
      <c r="F4" s="1" t="s">
        <v>102</v>
      </c>
      <c r="K4" s="27"/>
      <c r="L4" s="27"/>
    </row>
    <row r="5" spans="3:16" ht="21.5" thickBot="1" x14ac:dyDescent="0.6">
      <c r="G5" s="5" t="s">
        <v>9</v>
      </c>
      <c r="H5" s="11">
        <v>1</v>
      </c>
      <c r="I5" s="1" t="s">
        <v>10</v>
      </c>
      <c r="K5" s="28">
        <f>H5</f>
        <v>1</v>
      </c>
      <c r="L5" s="25" t="s">
        <v>18</v>
      </c>
    </row>
    <row r="6" spans="3:16" ht="21.5" thickBot="1" x14ac:dyDescent="0.6">
      <c r="G6" s="6" t="s">
        <v>11</v>
      </c>
      <c r="H6" s="7">
        <f>H3+H5</f>
        <v>4.3120401238401858</v>
      </c>
      <c r="I6" s="1" t="s">
        <v>10</v>
      </c>
      <c r="K6" s="26">
        <f>K3+K5</f>
        <v>2.0092729203603019</v>
      </c>
      <c r="L6" s="25" t="s">
        <v>18</v>
      </c>
    </row>
    <row r="7" spans="3:16" ht="21" x14ac:dyDescent="0.55000000000000004">
      <c r="G7" s="9"/>
      <c r="H7" s="10"/>
      <c r="P7" s="1">
        <v>19</v>
      </c>
    </row>
    <row r="8" spans="3:16" x14ac:dyDescent="0.45">
      <c r="G8" s="4"/>
      <c r="H8" s="1" t="s">
        <v>5</v>
      </c>
      <c r="P8" s="1">
        <f>COS(19*3.141592/180)*2.024</f>
        <v>1.9137296424739916</v>
      </c>
    </row>
    <row r="9" spans="3:16" ht="24.75" customHeight="1" thickBot="1" x14ac:dyDescent="0.5">
      <c r="D9" s="51" t="s">
        <v>26</v>
      </c>
      <c r="G9" s="29"/>
    </row>
    <row r="10" spans="3:16" ht="22.5" customHeight="1" thickBot="1" x14ac:dyDescent="0.5">
      <c r="D10" s="31" t="s">
        <v>27</v>
      </c>
      <c r="E10" s="32" t="s">
        <v>28</v>
      </c>
      <c r="F10" s="32" t="s">
        <v>98</v>
      </c>
      <c r="G10" s="33" t="s">
        <v>99</v>
      </c>
      <c r="H10" s="32" t="s">
        <v>29</v>
      </c>
      <c r="I10" s="34" t="s">
        <v>30</v>
      </c>
      <c r="J10" s="39" t="s">
        <v>31</v>
      </c>
    </row>
    <row r="11" spans="3:16" ht="23.25" customHeight="1" thickBot="1" x14ac:dyDescent="0.5">
      <c r="D11" s="36">
        <v>18</v>
      </c>
      <c r="E11" s="37">
        <v>2.3839999999999999</v>
      </c>
      <c r="F11" s="56">
        <f>COS(D11*3.141592/180)*E11</f>
        <v>2.2673187829973735</v>
      </c>
      <c r="G11" s="37">
        <v>1.3029999999999999</v>
      </c>
      <c r="H11" s="37">
        <v>50</v>
      </c>
      <c r="I11" s="35">
        <f>F11*G11*H11</f>
        <v>147.71581871227889</v>
      </c>
      <c r="J11" s="38">
        <f>(I12-I11)/I12%</f>
        <v>4.8943463507813094</v>
      </c>
      <c r="K11" s="1" t="s">
        <v>32</v>
      </c>
    </row>
    <row r="12" spans="3:16" ht="21" x14ac:dyDescent="0.55000000000000004">
      <c r="F12" s="38">
        <f>E11-F11</f>
        <v>0.11668121700262635</v>
      </c>
      <c r="G12" s="9"/>
      <c r="H12" s="10"/>
      <c r="I12" s="1">
        <f>E11*G11*H11</f>
        <v>155.3176</v>
      </c>
    </row>
    <row r="14" spans="3:16" hidden="1" x14ac:dyDescent="0.45">
      <c r="C14" s="1" t="s">
        <v>12</v>
      </c>
      <c r="D14" s="1" t="s">
        <v>13</v>
      </c>
      <c r="G14" s="1" t="s">
        <v>15</v>
      </c>
    </row>
    <row r="15" spans="3:16" hidden="1" x14ac:dyDescent="0.45">
      <c r="C15" s="8">
        <f>SIN($F$3*3.141592/180)*$E$3</f>
        <v>0.61702447810231531</v>
      </c>
      <c r="D15" s="8">
        <f>COS($F$3*3.141592/180)*$E$3</f>
        <v>2.3027672034798838</v>
      </c>
      <c r="E15" s="8"/>
      <c r="F15" s="8"/>
      <c r="G15" s="8">
        <f>SIN($G$3*3.141592/180)*$E$3</f>
        <v>0.12476889374946699</v>
      </c>
    </row>
    <row r="16" spans="3:16" hidden="1" x14ac:dyDescent="0.45"/>
    <row r="17" spans="3:8" hidden="1" x14ac:dyDescent="0.45">
      <c r="C17" s="1" t="s">
        <v>14</v>
      </c>
      <c r="G17" s="1" t="s">
        <v>16</v>
      </c>
    </row>
    <row r="18" spans="3:8" hidden="1" x14ac:dyDescent="0.45">
      <c r="C18" s="8">
        <f>TAN((90-$D$3)*3.141592/180)*$C$15</f>
        <v>1.2650869116433043</v>
      </c>
      <c r="D18" s="8"/>
      <c r="E18" s="8"/>
      <c r="F18" s="8"/>
      <c r="G18" s="8">
        <f>TAN((90-$D$3)*3.141592/180)*($C$15-$G$15)</f>
        <v>1.0092729203603019</v>
      </c>
    </row>
    <row r="19" spans="3:8" ht="17.5" x14ac:dyDescent="0.45">
      <c r="D19" s="51" t="s">
        <v>96</v>
      </c>
    </row>
    <row r="20" spans="3:8" x14ac:dyDescent="0.45">
      <c r="D20" s="47" t="s">
        <v>89</v>
      </c>
      <c r="E20" s="47" t="s">
        <v>90</v>
      </c>
      <c r="F20" s="52" t="s">
        <v>91</v>
      </c>
      <c r="G20" s="47" t="s">
        <v>92</v>
      </c>
      <c r="H20" s="52" t="s">
        <v>93</v>
      </c>
    </row>
    <row r="21" spans="3:8" x14ac:dyDescent="0.45">
      <c r="D21" s="52">
        <v>23</v>
      </c>
      <c r="E21" s="52">
        <v>2.4649999999999999</v>
      </c>
      <c r="F21" s="53">
        <f>SIN(D21*3.141592654/180)*E21</f>
        <v>0.96315223184499255</v>
      </c>
      <c r="G21" s="52">
        <v>1.1000000000000001</v>
      </c>
      <c r="H21" s="54">
        <f>G21-(F21/2)</f>
        <v>0.61842388407750382</v>
      </c>
    </row>
    <row r="60" spans="3:15" x14ac:dyDescent="0.45">
      <c r="C60" s="1" t="s">
        <v>68</v>
      </c>
    </row>
    <row r="62" spans="3:15" x14ac:dyDescent="0.45">
      <c r="D62" s="49" t="s">
        <v>69</v>
      </c>
      <c r="E62" s="49" t="s">
        <v>70</v>
      </c>
      <c r="F62" s="49" t="s">
        <v>71</v>
      </c>
      <c r="G62" s="49" t="s">
        <v>72</v>
      </c>
      <c r="H62" s="49" t="s">
        <v>73</v>
      </c>
      <c r="I62" s="49" t="s">
        <v>74</v>
      </c>
      <c r="J62" s="49" t="s">
        <v>76</v>
      </c>
      <c r="K62" s="49" t="s">
        <v>77</v>
      </c>
      <c r="L62" s="49" t="s">
        <v>78</v>
      </c>
      <c r="N62" s="1" t="s">
        <v>75</v>
      </c>
      <c r="O62" s="50" t="s">
        <v>88</v>
      </c>
    </row>
    <row r="63" spans="3:15" x14ac:dyDescent="0.45">
      <c r="D63" s="1" t="s">
        <v>81</v>
      </c>
      <c r="E63" s="1">
        <v>630</v>
      </c>
      <c r="F63" s="1">
        <v>2.4649999999999999</v>
      </c>
      <c r="G63" s="1">
        <v>1.1339999999999999</v>
      </c>
      <c r="H63" s="40">
        <f>N63*G63</f>
        <v>2.5730964218050238</v>
      </c>
      <c r="I63" s="1">
        <v>23</v>
      </c>
      <c r="J63" s="1">
        <v>56</v>
      </c>
      <c r="K63" s="1">
        <f>H63*J63</f>
        <v>144.09339962108135</v>
      </c>
      <c r="L63" s="1">
        <f>E63/1000*J63</f>
        <v>35.28</v>
      </c>
      <c r="N63" s="1">
        <f>COS(I63*3.1415926543/180)*F63</f>
        <v>2.2690444636728606</v>
      </c>
      <c r="O63" s="1">
        <f>150/H63</f>
        <v>58.295522363198188</v>
      </c>
    </row>
    <row r="64" spans="3:15" x14ac:dyDescent="0.45">
      <c r="D64" s="1" t="s">
        <v>84</v>
      </c>
      <c r="E64" s="1">
        <v>700</v>
      </c>
      <c r="F64" s="1">
        <v>2.3839999999999999</v>
      </c>
      <c r="G64" s="1">
        <v>1.3029999999999999</v>
      </c>
      <c r="H64" s="40">
        <f t="shared" ref="H64:H67" si="0">N64*G64</f>
        <v>2.8594120924215485</v>
      </c>
      <c r="I64" s="1">
        <v>23</v>
      </c>
      <c r="J64" s="1">
        <v>52</v>
      </c>
      <c r="K64" s="1">
        <f t="shared" ref="K64:K67" si="1">H64*J64</f>
        <v>148.68942880592053</v>
      </c>
      <c r="L64" s="1">
        <f t="shared" ref="L64:L67" si="2">E64/1000*J64</f>
        <v>36.4</v>
      </c>
      <c r="N64" s="1">
        <f t="shared" ref="N64:N67" si="3">COS(I64*3.1415926543/180)*F64</f>
        <v>2.194483570546085</v>
      </c>
      <c r="O64" s="1">
        <f t="shared" ref="O64:O67" si="4">150/H64</f>
        <v>52.458335892735768</v>
      </c>
    </row>
    <row r="65" spans="3:15" x14ac:dyDescent="0.45">
      <c r="D65" s="1" t="s">
        <v>97</v>
      </c>
      <c r="E65" s="1">
        <v>750</v>
      </c>
      <c r="F65" s="1">
        <v>2.3839999999999999</v>
      </c>
      <c r="G65" s="1">
        <v>1.3029999999999999</v>
      </c>
      <c r="H65" s="40">
        <f t="shared" si="0"/>
        <v>2.8594120924215485</v>
      </c>
      <c r="I65" s="1">
        <v>23</v>
      </c>
      <c r="J65" s="1">
        <v>52</v>
      </c>
      <c r="K65" s="1">
        <f t="shared" si="1"/>
        <v>148.68942880592053</v>
      </c>
      <c r="L65" s="1">
        <f t="shared" si="2"/>
        <v>39</v>
      </c>
      <c r="N65" s="1">
        <f t="shared" si="3"/>
        <v>2.194483570546085</v>
      </c>
      <c r="O65" s="1">
        <f t="shared" si="4"/>
        <v>52.458335892735768</v>
      </c>
    </row>
    <row r="66" spans="3:15" x14ac:dyDescent="0.45">
      <c r="D66" s="1" t="s">
        <v>94</v>
      </c>
      <c r="E66" s="1">
        <v>630</v>
      </c>
      <c r="F66" s="1">
        <v>2.4620000000000002</v>
      </c>
      <c r="G66" s="1">
        <v>1.1339999999999999</v>
      </c>
      <c r="H66" s="40">
        <f t="shared" si="0"/>
        <v>2.5699648642936994</v>
      </c>
      <c r="I66" s="1">
        <v>23</v>
      </c>
      <c r="J66" s="1">
        <v>57</v>
      </c>
      <c r="K66" s="1">
        <f t="shared" si="1"/>
        <v>146.48799726474087</v>
      </c>
      <c r="L66" s="1">
        <f t="shared" si="2"/>
        <v>35.910000000000004</v>
      </c>
      <c r="N66" s="1">
        <f t="shared" si="3"/>
        <v>2.2662829491126097</v>
      </c>
      <c r="O66" s="1">
        <f t="shared" si="4"/>
        <v>58.366556712137907</v>
      </c>
    </row>
    <row r="67" spans="3:15" x14ac:dyDescent="0.45">
      <c r="E67" s="1">
        <v>660</v>
      </c>
      <c r="F67" s="1">
        <v>2.4</v>
      </c>
      <c r="G67" s="1">
        <v>1.304</v>
      </c>
      <c r="H67" s="40">
        <f t="shared" si="0"/>
        <v>2.9408620259271125</v>
      </c>
      <c r="I67" s="1">
        <v>20</v>
      </c>
      <c r="J67" s="1">
        <v>49</v>
      </c>
      <c r="K67" s="1">
        <f t="shared" si="1"/>
        <v>144.10223927042853</v>
      </c>
      <c r="L67" s="1">
        <f t="shared" si="2"/>
        <v>32.340000000000003</v>
      </c>
      <c r="N67" s="1">
        <f t="shared" si="3"/>
        <v>2.2552622898214052</v>
      </c>
      <c r="O67" s="1">
        <f t="shared" si="4"/>
        <v>51.005453053416268</v>
      </c>
    </row>
    <row r="70" spans="3:15" x14ac:dyDescent="0.45">
      <c r="C70" s="1" t="s">
        <v>79</v>
      </c>
    </row>
    <row r="72" spans="3:15" x14ac:dyDescent="0.45">
      <c r="D72" s="49" t="s">
        <v>69</v>
      </c>
      <c r="E72" s="49" t="s">
        <v>70</v>
      </c>
      <c r="F72" s="49" t="s">
        <v>71</v>
      </c>
      <c r="G72" s="49" t="s">
        <v>72</v>
      </c>
      <c r="H72" s="49" t="s">
        <v>73</v>
      </c>
      <c r="I72" s="55" t="s">
        <v>80</v>
      </c>
      <c r="J72" s="49" t="s">
        <v>82</v>
      </c>
      <c r="K72" s="49" t="s">
        <v>86</v>
      </c>
      <c r="L72" s="49" t="s">
        <v>87</v>
      </c>
      <c r="N72" s="57" t="s">
        <v>100</v>
      </c>
    </row>
    <row r="73" spans="3:15" x14ac:dyDescent="0.45">
      <c r="D73" s="1" t="s">
        <v>83</v>
      </c>
      <c r="E73" s="1">
        <v>630</v>
      </c>
      <c r="F73" s="1">
        <v>2.4649999999999999</v>
      </c>
      <c r="G73" s="1">
        <v>1.1339999999999999</v>
      </c>
      <c r="H73" s="48">
        <f>F73*G73</f>
        <v>2.7953099999999997</v>
      </c>
      <c r="I73" s="2">
        <f>E73/H73</f>
        <v>225.377507324769</v>
      </c>
      <c r="J73" s="1">
        <v>55.85</v>
      </c>
      <c r="K73" s="1">
        <v>14</v>
      </c>
      <c r="L73" s="1">
        <f>J73*K73</f>
        <v>781.9</v>
      </c>
      <c r="N73" s="1">
        <v>46.26</v>
      </c>
      <c r="O73" s="58">
        <f>K73*N73</f>
        <v>647.64</v>
      </c>
    </row>
    <row r="74" spans="3:15" x14ac:dyDescent="0.45">
      <c r="D74" s="1" t="s">
        <v>85</v>
      </c>
      <c r="E74" s="1">
        <v>700</v>
      </c>
      <c r="F74" s="1">
        <v>2.3839999999999999</v>
      </c>
      <c r="G74" s="1">
        <v>1.3029999999999999</v>
      </c>
      <c r="H74" s="48">
        <f>F74*G74</f>
        <v>3.1063519999999998</v>
      </c>
      <c r="I74" s="2">
        <f>E74/H74</f>
        <v>225.34471302672719</v>
      </c>
      <c r="J74" s="1">
        <v>45.9</v>
      </c>
      <c r="K74" s="1">
        <v>17</v>
      </c>
      <c r="L74" s="1">
        <f t="shared" ref="L74:L76" si="5">J74*K74</f>
        <v>780.3</v>
      </c>
      <c r="N74" s="1">
        <v>38.1</v>
      </c>
      <c r="O74" s="58">
        <f>K74*N74</f>
        <v>647.70000000000005</v>
      </c>
    </row>
    <row r="75" spans="3:15" x14ac:dyDescent="0.45">
      <c r="D75" s="1" t="str">
        <f>D65</f>
        <v>jingsun징선</v>
      </c>
      <c r="E75" s="1">
        <v>750</v>
      </c>
      <c r="F75" s="1">
        <v>2.3839999999999999</v>
      </c>
      <c r="G75" s="1">
        <v>1.3029999999999999</v>
      </c>
      <c r="H75" s="48">
        <f>F75*G75</f>
        <v>3.1063519999999998</v>
      </c>
      <c r="I75" s="2">
        <f>E75/H75</f>
        <v>241.44076395720771</v>
      </c>
      <c r="J75" s="1">
        <v>46.54</v>
      </c>
      <c r="K75" s="1">
        <v>16</v>
      </c>
      <c r="L75" s="1">
        <f t="shared" si="5"/>
        <v>744.64</v>
      </c>
    </row>
    <row r="76" spans="3:15" x14ac:dyDescent="0.45">
      <c r="D76" s="1" t="s">
        <v>95</v>
      </c>
      <c r="E76" s="1">
        <v>630</v>
      </c>
      <c r="F76" s="1">
        <v>2.4620000000000002</v>
      </c>
      <c r="G76" s="1">
        <v>1.1339999999999999</v>
      </c>
      <c r="H76" s="48">
        <f>F76*G76</f>
        <v>2.7919079999999998</v>
      </c>
      <c r="I76" s="2">
        <f>E76/H76</f>
        <v>225.65213466919397</v>
      </c>
      <c r="J76" s="1">
        <v>53.78</v>
      </c>
      <c r="K76" s="1">
        <v>14</v>
      </c>
      <c r="L76" s="1">
        <f t="shared" si="5"/>
        <v>752.92000000000007</v>
      </c>
    </row>
    <row r="79" spans="3:15" x14ac:dyDescent="0.45">
      <c r="C79" s="1" t="s">
        <v>101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N26"/>
  <sheetViews>
    <sheetView workbookViewId="0">
      <selection activeCell="H12" sqref="H12"/>
    </sheetView>
  </sheetViews>
  <sheetFormatPr defaultRowHeight="17" x14ac:dyDescent="0.45"/>
  <sheetData>
    <row r="5" spans="4:12" x14ac:dyDescent="0.45">
      <c r="E5" t="s">
        <v>24</v>
      </c>
      <c r="F5" t="s">
        <v>25</v>
      </c>
    </row>
    <row r="6" spans="4:12" x14ac:dyDescent="0.45">
      <c r="D6" t="s">
        <v>21</v>
      </c>
      <c r="E6" t="s">
        <v>19</v>
      </c>
      <c r="F6" t="s">
        <v>20</v>
      </c>
    </row>
    <row r="7" spans="4:12" x14ac:dyDescent="0.45">
      <c r="D7">
        <v>2.74</v>
      </c>
      <c r="E7">
        <v>10</v>
      </c>
      <c r="F7">
        <v>20</v>
      </c>
    </row>
    <row r="8" spans="4:12" x14ac:dyDescent="0.45">
      <c r="E8">
        <f>E7*PI()/180</f>
        <v>0.17453292519943295</v>
      </c>
      <c r="F8">
        <f>F7*PI()/180</f>
        <v>0.3490658503988659</v>
      </c>
    </row>
    <row r="10" spans="4:12" x14ac:dyDescent="0.45">
      <c r="F10">
        <f>(TAN(E8)*TAN(F8))/(TAN(E8)+TAN(F8))</f>
        <v>0.11878234922776941</v>
      </c>
      <c r="J10">
        <f>TAN(L10)</f>
        <v>0.36397023426620234</v>
      </c>
      <c r="K10">
        <v>20</v>
      </c>
      <c r="L10">
        <f>K10*PI()/180</f>
        <v>0.3490658503988659</v>
      </c>
    </row>
    <row r="11" spans="4:12" x14ac:dyDescent="0.45">
      <c r="E11" t="s">
        <v>22</v>
      </c>
      <c r="F11">
        <f>F10*D7</f>
        <v>0.32546363688408819</v>
      </c>
    </row>
    <row r="13" spans="4:12" x14ac:dyDescent="0.45">
      <c r="J13" t="s">
        <v>23</v>
      </c>
      <c r="L13">
        <f>F11/J10</f>
        <v>0.8942039931926109</v>
      </c>
    </row>
    <row r="17" spans="2:14" x14ac:dyDescent="0.45">
      <c r="B17" t="s">
        <v>40</v>
      </c>
    </row>
    <row r="19" spans="2:14" x14ac:dyDescent="0.45">
      <c r="H19" t="s">
        <v>44</v>
      </c>
      <c r="J19" t="s">
        <v>45</v>
      </c>
    </row>
    <row r="20" spans="2:14" x14ac:dyDescent="0.45">
      <c r="B20" t="s">
        <v>41</v>
      </c>
      <c r="C20" t="s">
        <v>42</v>
      </c>
      <c r="D20" t="s">
        <v>43</v>
      </c>
      <c r="G20">
        <v>3</v>
      </c>
      <c r="H20">
        <v>4</v>
      </c>
      <c r="I20" t="s">
        <v>46</v>
      </c>
      <c r="J20">
        <v>8</v>
      </c>
      <c r="K20" t="s">
        <v>47</v>
      </c>
      <c r="M20">
        <v>42</v>
      </c>
      <c r="N20" t="s">
        <v>49</v>
      </c>
    </row>
    <row r="21" spans="2:14" x14ac:dyDescent="0.45">
      <c r="C21">
        <v>2.4159999999999999</v>
      </c>
      <c r="D21">
        <v>1.1339999999999999</v>
      </c>
      <c r="G21">
        <f>C21*G20</f>
        <v>7.2479999999999993</v>
      </c>
      <c r="H21">
        <f>C21*H20</f>
        <v>9.6639999999999997</v>
      </c>
      <c r="J21">
        <f>D21*J20</f>
        <v>9.0719999999999992</v>
      </c>
      <c r="M21">
        <f>M20/C21</f>
        <v>17.3841059602649</v>
      </c>
      <c r="N21">
        <f>M20/D21</f>
        <v>37.037037037037038</v>
      </c>
    </row>
    <row r="22" spans="2:14" x14ac:dyDescent="0.45">
      <c r="B22" t="s">
        <v>51</v>
      </c>
      <c r="C22">
        <v>2.2789999999999999</v>
      </c>
      <c r="D22">
        <v>1.1339999999999999</v>
      </c>
      <c r="G22">
        <v>36</v>
      </c>
      <c r="H22">
        <v>36</v>
      </c>
      <c r="I22" t="s">
        <v>48</v>
      </c>
      <c r="J22">
        <v>17</v>
      </c>
      <c r="K22" t="s">
        <v>50</v>
      </c>
    </row>
    <row r="24" spans="2:14" x14ac:dyDescent="0.45">
      <c r="G24">
        <f>G20*G22</f>
        <v>108</v>
      </c>
      <c r="H24">
        <f>H20*H22</f>
        <v>144</v>
      </c>
      <c r="J24">
        <f>J20*J22</f>
        <v>136</v>
      </c>
    </row>
    <row r="25" spans="2:14" x14ac:dyDescent="0.45">
      <c r="H25">
        <f>C22*H20</f>
        <v>9.1159999999999997</v>
      </c>
      <c r="J25">
        <v>8</v>
      </c>
      <c r="K25" t="s">
        <v>47</v>
      </c>
    </row>
    <row r="26" spans="2:14" x14ac:dyDescent="0.45">
      <c r="G26">
        <v>36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경사각구하기</vt:lpstr>
      <vt:lpstr>모듈,토지경사에따른 이격거리</vt:lpstr>
      <vt:lpstr>밑변과 양각을 알때 수직거리계산법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2026-05-04T08:27:52Z</dcterms:modified>
</cp:coreProperties>
</file>